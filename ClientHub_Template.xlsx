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Master" sheetId="1" state="visible" r:id="rId1"/>
    <sheet xmlns:r="http://schemas.openxmlformats.org/officeDocument/2006/relationships" name="Reference Lists" sheetId="2" state="visible" r:id="rId2"/>
    <sheet xmlns:r="http://schemas.openxmlformats.org/officeDocument/2006/relationships" name="Dashboard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18162A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4A3FA0"/>
      <sz val="20"/>
    </font>
    <font>
      <name val="Arial"/>
      <b val="1"/>
      <color rgb="001E7F5A"/>
      <sz val="20"/>
    </font>
    <font>
      <name val="Arial"/>
      <b val="1"/>
      <color rgb="00D97B40"/>
      <sz val="20"/>
    </font>
    <font>
      <name val="Arial"/>
      <b val="1"/>
      <color rgb="005F5C78"/>
      <sz val="20"/>
    </font>
    <font>
      <name val="Arial"/>
      <b val="1"/>
      <color rgb="002D2080"/>
      <sz val="11"/>
    </font>
    <font>
      <name val="Arial"/>
      <b val="1"/>
      <color rgb="0018162A"/>
      <sz val="10"/>
    </font>
    <font>
      <name val="Arial"/>
      <b val="1"/>
      <color rgb="001E7F5A"/>
      <sz val="10"/>
    </font>
    <font>
      <name val="Arial"/>
      <b val="1"/>
      <color rgb="00D97B40"/>
      <sz val="10"/>
    </font>
    <font>
      <name val="Arial"/>
      <b val="1"/>
      <color rgb="00B7770A"/>
      <sz val="10"/>
    </font>
    <font>
      <name val="Arial"/>
      <b val="1"/>
      <color rgb="005F5C78"/>
      <sz val="10"/>
    </font>
  </fonts>
  <fills count="14">
    <fill>
      <patternFill/>
    </fill>
    <fill>
      <patternFill patternType="gray125"/>
    </fill>
    <fill>
      <patternFill patternType="solid">
        <fgColor rgb="004A3FA0"/>
      </patternFill>
    </fill>
    <fill>
      <patternFill patternType="solid">
        <fgColor rgb="002D2080"/>
      </patternFill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117A65"/>
      </patternFill>
    </fill>
    <fill>
      <patternFill patternType="solid">
        <fgColor rgb="00784212"/>
      </patternFill>
    </fill>
    <fill>
      <patternFill patternType="solid">
        <fgColor rgb="005F5C78"/>
      </patternFill>
    </fill>
    <fill>
      <patternFill patternType="solid">
        <fgColor rgb="00FFFFFF"/>
      </patternFill>
    </fill>
    <fill>
      <patternFill patternType="solid">
        <fgColor rgb="00F0EEF9"/>
      </patternFill>
    </fill>
    <fill>
      <patternFill patternType="solid">
        <fgColor rgb="006B21A8"/>
      </patternFill>
    </fill>
    <fill>
      <patternFill patternType="solid">
        <fgColor rgb="001E7F5A"/>
      </patternFill>
    </fill>
    <fill>
      <patternFill patternType="solid">
        <fgColor rgb="00D97B40"/>
      </patternFill>
    </fill>
  </fills>
  <borders count="2">
    <border>
      <left/>
      <right/>
      <top/>
      <bottom/>
      <diagonal/>
    </border>
    <border>
      <left style="thin">
        <color rgb="00E2DFF2"/>
      </left>
      <right style="thin">
        <color rgb="00E2DFF2"/>
      </right>
      <top style="thin">
        <color rgb="00E2DFF2"/>
      </top>
      <bottom style="thin">
        <color rgb="00E2DFF2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indent="2"/>
    </xf>
    <xf numFmtId="0" fontId="5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8" customWidth="1" min="4" max="4"/>
    <col width="16" customWidth="1" min="5" max="5"/>
    <col width="20" customWidth="1" min="6" max="6"/>
    <col width="14" customWidth="1" min="7" max="7"/>
    <col width="30" customWidth="1" min="8" max="8"/>
    <col width="16" customWidth="1" min="9" max="9"/>
    <col width="24" customWidth="1" min="10" max="10"/>
    <col width="22" customWidth="1" min="11" max="11"/>
    <col width="14" customWidth="1" min="12" max="12"/>
    <col width="20" customWidth="1" min="13" max="13"/>
    <col width="20" customWidth="1" min="14" max="14"/>
    <col width="16" customWidth="1" min="15" max="15"/>
    <col width="16" customWidth="1" min="16" max="16"/>
    <col width="24" customWidth="1" min="17" max="17"/>
    <col width="16" customWidth="1" min="18" max="18"/>
    <col width="22" customWidth="1" min="19" max="19"/>
    <col width="20" customWidth="1" min="20" max="20"/>
    <col width="18" customWidth="1" min="21" max="21"/>
    <col width="18" customWidth="1" min="22" max="22"/>
    <col width="16" customWidth="1" min="23" max="23"/>
    <col width="22" customWidth="1" min="24" max="24"/>
    <col width="18" customWidth="1" min="25" max="25"/>
    <col width="20" customWidth="1" min="26" max="26"/>
    <col width="16" customWidth="1" min="27" max="27"/>
    <col width="22" customWidth="1" min="28" max="28"/>
    <col width="14" customWidth="1" min="29" max="29"/>
    <col width="16" customWidth="1" min="30" max="30"/>
    <col width="14" customWidth="1" min="31" max="31"/>
    <col width="24" customWidth="1" min="32" max="32"/>
    <col width="18" customWidth="1" min="33" max="33"/>
    <col width="16" customWidth="1" min="34" max="34"/>
    <col width="16" customWidth="1" min="35" max="35"/>
    <col width="13" customWidth="1" min="36" max="36"/>
    <col width="18" customWidth="1" min="37" max="37"/>
    <col width="18" customWidth="1" min="38" max="38"/>
  </cols>
  <sheetData>
    <row r="1" ht="36" customHeight="1">
      <c r="A1" s="1" t="inlineStr">
        <is>
          <t>ClientHub — Client Registration Master Sheet</t>
        </is>
      </c>
    </row>
    <row r="2" ht="26" customHeight="1">
      <c r="A2" s="2" t="inlineStr">
        <is>
          <t>Client Info</t>
        </is>
      </c>
      <c r="C2" s="3" t="inlineStr">
        <is>
          <t>Company Details</t>
        </is>
      </c>
      <c r="M2" s="4" t="inlineStr">
        <is>
          <t>Primary Contact</t>
        </is>
      </c>
      <c r="U2" s="5" t="inlineStr">
        <is>
          <t>Secondary Contact</t>
        </is>
      </c>
      <c r="Y2" s="6" t="inlineStr">
        <is>
          <t>Reference Details</t>
        </is>
      </c>
      <c r="AG2" s="7" t="inlineStr">
        <is>
          <t>Financials</t>
        </is>
      </c>
      <c r="AJ2" s="8" t="inlineStr">
        <is>
          <t>Status &amp; Meta</t>
        </is>
      </c>
    </row>
    <row r="3" ht="34" customHeight="1">
      <c r="A3" s="9" t="inlineStr">
        <is>
          <t>Client ID</t>
        </is>
      </c>
      <c r="B3" s="9" t="inlineStr">
        <is>
          <t>Client Code</t>
        </is>
      </c>
      <c r="C3" s="10" t="inlineStr">
        <is>
          <t>Company Name *</t>
        </is>
      </c>
      <c r="D3" s="10" t="inlineStr">
        <is>
          <t>Industry *</t>
        </is>
      </c>
      <c r="E3" s="9" t="inlineStr">
        <is>
          <t>Business Type</t>
        </is>
      </c>
      <c r="F3" s="9" t="inlineStr">
        <is>
          <t>GST Number</t>
        </is>
      </c>
      <c r="G3" s="9" t="inlineStr">
        <is>
          <t>PAN Number</t>
        </is>
      </c>
      <c r="H3" s="9" t="inlineStr">
        <is>
          <t>Registered Address</t>
        </is>
      </c>
      <c r="I3" s="9" t="inlineStr">
        <is>
          <t>Company Phone</t>
        </is>
      </c>
      <c r="J3" s="9" t="inlineStr">
        <is>
          <t>Company Email</t>
        </is>
      </c>
      <c r="K3" s="9" t="inlineStr">
        <is>
          <t>Website</t>
        </is>
      </c>
      <c r="L3" s="9" t="inlineStr">
        <is>
          <t>Client Since</t>
        </is>
      </c>
      <c r="M3" s="10" t="inlineStr">
        <is>
          <t>CP Name *</t>
        </is>
      </c>
      <c r="N3" s="10" t="inlineStr">
        <is>
          <t>CP Designation *</t>
        </is>
      </c>
      <c r="O3" s="10" t="inlineStr">
        <is>
          <t>CP Mobile *</t>
        </is>
      </c>
      <c r="P3" s="9" t="inlineStr">
        <is>
          <t>CP Alt Phone</t>
        </is>
      </c>
      <c r="Q3" s="10" t="inlineStr">
        <is>
          <t>CP Email *</t>
        </is>
      </c>
      <c r="R3" s="9" t="inlineStr">
        <is>
          <t>CP Department</t>
        </is>
      </c>
      <c r="S3" s="9" t="inlineStr">
        <is>
          <t>CP LinkedIn</t>
        </is>
      </c>
      <c r="T3" s="9" t="inlineStr">
        <is>
          <t>CP Notes</t>
        </is>
      </c>
      <c r="U3" s="9" t="inlineStr">
        <is>
          <t>SC Name</t>
        </is>
      </c>
      <c r="V3" s="9" t="inlineStr">
        <is>
          <t>SC Designation</t>
        </is>
      </c>
      <c r="W3" s="9" t="inlineStr">
        <is>
          <t>SC Mobile</t>
        </is>
      </c>
      <c r="X3" s="9" t="inlineStr">
        <is>
          <t>SC Email</t>
        </is>
      </c>
      <c r="Y3" s="9" t="inlineStr">
        <is>
          <t>Referred By</t>
        </is>
      </c>
      <c r="Z3" s="9" t="inlineStr">
        <is>
          <t>Referrer Company</t>
        </is>
      </c>
      <c r="AA3" s="9" t="inlineStr">
        <is>
          <t>Referrer Mobile</t>
        </is>
      </c>
      <c r="AB3" s="9" t="inlineStr">
        <is>
          <t>Referrer Email</t>
        </is>
      </c>
      <c r="AC3" s="9" t="inlineStr">
        <is>
          <t>Reference Date</t>
        </is>
      </c>
      <c r="AD3" s="9" t="inlineStr">
        <is>
          <t>Lead Source</t>
        </is>
      </c>
      <c r="AE3" s="9" t="inlineStr">
        <is>
          <t>Rel. Strength</t>
        </is>
      </c>
      <c r="AF3" s="9" t="inlineStr">
        <is>
          <t>Reference Notes</t>
        </is>
      </c>
      <c r="AG3" s="9" t="inlineStr">
        <is>
          <t>Annual Revenue (₹)</t>
        </is>
      </c>
      <c r="AH3" s="9" t="inlineStr">
        <is>
          <t>Credit Limit (₹)</t>
        </is>
      </c>
      <c r="AI3" s="9" t="inlineStr">
        <is>
          <t>Outstanding (₹)</t>
        </is>
      </c>
      <c r="AJ3" s="10" t="inlineStr">
        <is>
          <t>Status *</t>
        </is>
      </c>
      <c r="AK3" s="9" t="inlineStr">
        <is>
          <t>Registered On</t>
        </is>
      </c>
      <c r="AL3" s="9" t="inlineStr">
        <is>
          <t>Last Updated</t>
        </is>
      </c>
    </row>
    <row r="4" ht="18" customHeight="1">
      <c r="A4" s="11" t="inlineStr">
        <is>
          <t>CL-001</t>
        </is>
      </c>
      <c r="B4" s="11" t="inlineStr">
        <is>
          <t>TCS-001</t>
        </is>
      </c>
      <c r="C4" s="11" t="inlineStr">
        <is>
          <t>Tata Consultancy Services Ltd</t>
        </is>
      </c>
      <c r="D4" s="11" t="inlineStr">
        <is>
          <t>IT &amp; Software</t>
        </is>
      </c>
      <c r="E4" s="11" t="inlineStr">
        <is>
          <t>Ltd. / Public</t>
        </is>
      </c>
      <c r="F4" s="11" t="inlineStr">
        <is>
          <t>27AABCT1234A1ZS</t>
        </is>
      </c>
      <c r="G4" s="11" t="inlineStr">
        <is>
          <t>AABCT1234A</t>
        </is>
      </c>
      <c r="H4" s="11" t="inlineStr">
        <is>
          <t>TCS House, Raveline St, Fort, Mumbai - 400001</t>
        </is>
      </c>
      <c r="I4" s="11" t="inlineStr">
        <is>
          <t>+91 22 6778 9999</t>
        </is>
      </c>
      <c r="J4" s="11" t="inlineStr">
        <is>
          <t>contact@tcs.com</t>
        </is>
      </c>
      <c r="K4" s="11" t="inlineStr">
        <is>
          <t>https://www.tcs.com</t>
        </is>
      </c>
      <c r="L4" s="11" t="inlineStr">
        <is>
          <t>2022-03-15</t>
        </is>
      </c>
      <c r="M4" s="11" t="inlineStr">
        <is>
          <t>Ramesh Iyer</t>
        </is>
      </c>
      <c r="N4" s="11" t="inlineStr">
        <is>
          <t>VP - Procurement</t>
        </is>
      </c>
      <c r="O4" s="11" t="inlineStr">
        <is>
          <t>+91 98200 11111</t>
        </is>
      </c>
      <c r="P4" s="11" t="inlineStr"/>
      <c r="Q4" s="11" t="inlineStr">
        <is>
          <t>r.iyer@tcs.com</t>
        </is>
      </c>
      <c r="R4" s="11" t="inlineStr">
        <is>
          <t>Procurement</t>
        </is>
      </c>
      <c r="S4" s="11" t="inlineStr"/>
      <c r="T4" s="11" t="inlineStr"/>
      <c r="U4" s="11" t="inlineStr"/>
      <c r="V4" s="11" t="inlineStr"/>
      <c r="W4" s="11" t="inlineStr"/>
      <c r="X4" s="11" t="inlineStr"/>
      <c r="Y4" s="11" t="inlineStr">
        <is>
          <t>Sunil Mehta</t>
        </is>
      </c>
      <c r="Z4" s="11" t="inlineStr">
        <is>
          <t>InfoEdge Ltd</t>
        </is>
      </c>
      <c r="AA4" s="11" t="inlineStr">
        <is>
          <t>+91 98100 22222</t>
        </is>
      </c>
      <c r="AB4" s="11" t="inlineStr">
        <is>
          <t>s.mehta@infoedge.com</t>
        </is>
      </c>
      <c r="AC4" s="11" t="inlineStr">
        <is>
          <t>2022-02-10</t>
        </is>
      </c>
      <c r="AD4" s="11" t="inlineStr">
        <is>
          <t>Referral</t>
        </is>
      </c>
      <c r="AE4" s="11" t="inlineStr">
        <is>
          <t>Strong</t>
        </is>
      </c>
      <c r="AF4" s="11" t="inlineStr">
        <is>
          <t>Referred at CII Summit 2022</t>
        </is>
      </c>
      <c r="AG4" s="11" t="inlineStr">
        <is>
          <t>12500000</t>
        </is>
      </c>
      <c r="AH4" s="11" t="inlineStr">
        <is>
          <t>500000</t>
        </is>
      </c>
      <c r="AI4" s="11" t="inlineStr"/>
      <c r="AJ4" s="11" t="inlineStr">
        <is>
          <t>Active</t>
        </is>
      </c>
      <c r="AK4" s="11" t="inlineStr">
        <is>
          <t>2022-03-15</t>
        </is>
      </c>
      <c r="AL4" s="11" t="inlineStr">
        <is>
          <t>2024-11-01</t>
        </is>
      </c>
    </row>
    <row r="5" ht="18" customHeight="1">
      <c r="A5" s="12" t="inlineStr">
        <is>
          <t>CL-002</t>
        </is>
      </c>
      <c r="B5" s="12" t="inlineStr">
        <is>
          <t>WIPRO-002</t>
        </is>
      </c>
      <c r="C5" s="12" t="inlineStr">
        <is>
          <t>Wipro Technologies</t>
        </is>
      </c>
      <c r="D5" s="12" t="inlineStr">
        <is>
          <t>IT &amp; Software</t>
        </is>
      </c>
      <c r="E5" s="12" t="inlineStr">
        <is>
          <t>Ltd. / Public</t>
        </is>
      </c>
      <c r="F5" s="12" t="inlineStr">
        <is>
          <t>29AAACW0000A1ZX</t>
        </is>
      </c>
      <c r="G5" s="12" t="inlineStr">
        <is>
          <t>AAACW0000A</t>
        </is>
      </c>
      <c r="H5" s="12" t="inlineStr">
        <is>
          <t>Doddakannelli, Sarjapur Rd, Bengaluru - 560035</t>
        </is>
      </c>
      <c r="I5" s="12" t="inlineStr">
        <is>
          <t>+91 80 2844 0011</t>
        </is>
      </c>
      <c r="J5" s="12" t="inlineStr">
        <is>
          <t>info@wipro.com</t>
        </is>
      </c>
      <c r="K5" s="12" t="inlineStr">
        <is>
          <t>https://www.wipro.com</t>
        </is>
      </c>
      <c r="L5" s="12" t="inlineStr">
        <is>
          <t>2023-01-10</t>
        </is>
      </c>
      <c r="M5" s="12" t="inlineStr">
        <is>
          <t>Priya Sharma</t>
        </is>
      </c>
      <c r="N5" s="12" t="inlineStr">
        <is>
          <t>Senior Manager - IT</t>
        </is>
      </c>
      <c r="O5" s="12" t="inlineStr">
        <is>
          <t>+91 97400 33333</t>
        </is>
      </c>
      <c r="P5" s="12" t="inlineStr"/>
      <c r="Q5" s="12" t="inlineStr">
        <is>
          <t>p.sharma@wipro.com</t>
        </is>
      </c>
      <c r="R5" s="12" t="inlineStr">
        <is>
          <t>IT Infrastructure</t>
        </is>
      </c>
      <c r="S5" s="12" t="inlineStr"/>
      <c r="T5" s="12" t="inlineStr"/>
      <c r="U5" s="12" t="inlineStr">
        <is>
          <t>Karan Nair</t>
        </is>
      </c>
      <c r="V5" s="12" t="inlineStr">
        <is>
          <t>Finance Dept</t>
        </is>
      </c>
      <c r="W5" s="12" t="inlineStr">
        <is>
          <t>+91 97400 44444</t>
        </is>
      </c>
      <c r="X5" s="12" t="inlineStr">
        <is>
          <t>k.nair@wipro.com</t>
        </is>
      </c>
      <c r="Y5" s="12" t="inlineStr">
        <is>
          <t>Deepak Anand</t>
        </is>
      </c>
      <c r="Z5" s="12" t="inlineStr">
        <is>
          <t>TechSpark Pvt Ltd</t>
        </is>
      </c>
      <c r="AA5" s="12" t="inlineStr">
        <is>
          <t>+91 99800 55555</t>
        </is>
      </c>
      <c r="AB5" s="12" t="inlineStr">
        <is>
          <t>d.anand@techspark.com</t>
        </is>
      </c>
      <c r="AC5" s="12" t="inlineStr">
        <is>
          <t>2022-12-01</t>
        </is>
      </c>
      <c r="AD5" s="12" t="inlineStr">
        <is>
          <t>Exhibition / Event</t>
        </is>
      </c>
      <c r="AE5" s="12" t="inlineStr">
        <is>
          <t>Medium</t>
        </is>
      </c>
      <c r="AF5" s="12" t="inlineStr">
        <is>
          <t>Met at Nasscom Summit Dec 2022</t>
        </is>
      </c>
      <c r="AG5" s="12" t="inlineStr">
        <is>
          <t>8000000</t>
        </is>
      </c>
      <c r="AH5" s="12" t="inlineStr">
        <is>
          <t>300000</t>
        </is>
      </c>
      <c r="AI5" s="12" t="inlineStr"/>
      <c r="AJ5" s="12" t="inlineStr">
        <is>
          <t>Active</t>
        </is>
      </c>
      <c r="AK5" s="12" t="inlineStr">
        <is>
          <t>2023-01-10</t>
        </is>
      </c>
      <c r="AL5" s="12" t="inlineStr">
        <is>
          <t>2025-01-20</t>
        </is>
      </c>
    </row>
    <row r="6" ht="18" customHeight="1">
      <c r="A6" s="11" t="inlineStr">
        <is>
          <t>CL-003</t>
        </is>
      </c>
      <c r="B6" s="11" t="inlineStr">
        <is>
          <t>ZOMATO-003</t>
        </is>
      </c>
      <c r="C6" s="11" t="inlineStr">
        <is>
          <t>Zomato Ltd</t>
        </is>
      </c>
      <c r="D6" s="11" t="inlineStr">
        <is>
          <t>Retail &amp; FMCG</t>
        </is>
      </c>
      <c r="E6" s="11" t="inlineStr">
        <is>
          <t>Ltd. / Public</t>
        </is>
      </c>
      <c r="F6" s="11" t="inlineStr">
        <is>
          <t>06AABCZ0001B1ZM</t>
        </is>
      </c>
      <c r="G6" s="11" t="inlineStr">
        <is>
          <t>AABCZ0001B</t>
        </is>
      </c>
      <c r="H6" s="11" t="inlineStr">
        <is>
          <t>Ground Floor, 12A, 94 Meghdoot Bhawan, New Delhi - 110001</t>
        </is>
      </c>
      <c r="I6" s="11" t="inlineStr">
        <is>
          <t>+91 11 4357 4357</t>
        </is>
      </c>
      <c r="J6" s="11" t="inlineStr">
        <is>
          <t>support@zomato.com</t>
        </is>
      </c>
      <c r="K6" s="11" t="inlineStr">
        <is>
          <t>https://www.zomato.com</t>
        </is>
      </c>
      <c r="L6" s="11" t="inlineStr">
        <is>
          <t>2023-06-01</t>
        </is>
      </c>
      <c r="M6" s="11" t="inlineStr">
        <is>
          <t>Anjali Khanna</t>
        </is>
      </c>
      <c r="N6" s="11" t="inlineStr">
        <is>
          <t>Business Development Mgr</t>
        </is>
      </c>
      <c r="O6" s="11" t="inlineStr">
        <is>
          <t>+91 96500 66666</t>
        </is>
      </c>
      <c r="P6" s="11" t="inlineStr"/>
      <c r="Q6" s="11" t="inlineStr">
        <is>
          <t>a.khanna@zomato.com</t>
        </is>
      </c>
      <c r="R6" s="11" t="inlineStr">
        <is>
          <t>Business Dev</t>
        </is>
      </c>
      <c r="S6" s="11" t="inlineStr"/>
      <c r="T6" s="11" t="inlineStr"/>
      <c r="U6" s="11" t="inlineStr"/>
      <c r="V6" s="11" t="inlineStr"/>
      <c r="W6" s="11" t="inlineStr"/>
      <c r="X6" s="11" t="inlineStr"/>
      <c r="Y6" s="11" t="inlineStr">
        <is>
          <t>Mohit Gupta</t>
        </is>
      </c>
      <c r="Z6" s="11" t="inlineStr">
        <is>
          <t>Delhi Startup Circle</t>
        </is>
      </c>
      <c r="AA6" s="11" t="inlineStr">
        <is>
          <t>+91 96500 77777</t>
        </is>
      </c>
      <c r="AB6" s="11" t="inlineStr">
        <is>
          <t>m.gupta@dsc.in</t>
        </is>
      </c>
      <c r="AC6" s="11" t="inlineStr">
        <is>
          <t>2023-05-15</t>
        </is>
      </c>
      <c r="AD6" s="11" t="inlineStr">
        <is>
          <t>Cold Call</t>
        </is>
      </c>
      <c r="AE6" s="11" t="inlineStr">
        <is>
          <t>New</t>
        </is>
      </c>
      <c r="AF6" s="11" t="inlineStr">
        <is>
          <t>Approached via LinkedIn</t>
        </is>
      </c>
      <c r="AG6" s="11" t="inlineStr">
        <is>
          <t>3000000</t>
        </is>
      </c>
      <c r="AH6" s="11" t="inlineStr">
        <is>
          <t>100000</t>
        </is>
      </c>
      <c r="AI6" s="11" t="inlineStr"/>
      <c r="AJ6" s="11" t="inlineStr">
        <is>
          <t>Prospect</t>
        </is>
      </c>
      <c r="AK6" s="11" t="inlineStr">
        <is>
          <t>2023-06-01</t>
        </is>
      </c>
      <c r="AL6" s="11" t="inlineStr">
        <is>
          <t>2024-09-10</t>
        </is>
      </c>
    </row>
    <row r="7" ht="18" customHeight="1">
      <c r="A7" s="12" t="inlineStr">
        <is>
          <t>CL-004</t>
        </is>
      </c>
      <c r="B7" s="12" t="inlineStr">
        <is>
          <t>CIPLA-004</t>
        </is>
      </c>
      <c r="C7" s="12" t="inlineStr">
        <is>
          <t>Cipla Ltd</t>
        </is>
      </c>
      <c r="D7" s="12" t="inlineStr">
        <is>
          <t>Healthcare</t>
        </is>
      </c>
      <c r="E7" s="12" t="inlineStr">
        <is>
          <t>Ltd. / Public</t>
        </is>
      </c>
      <c r="F7" s="12" t="inlineStr">
        <is>
          <t>27AAACC1234A1ZK</t>
        </is>
      </c>
      <c r="G7" s="12" t="inlineStr">
        <is>
          <t>AAACC1234A</t>
        </is>
      </c>
      <c r="H7" s="12" t="inlineStr">
        <is>
          <t>289 Bellasis Rd, Mumbai Central, Mumbai - 400008</t>
        </is>
      </c>
      <c r="I7" s="12" t="inlineStr">
        <is>
          <t>+91 22 2307 7777</t>
        </is>
      </c>
      <c r="J7" s="12" t="inlineStr">
        <is>
          <t>share@cipla.com</t>
        </is>
      </c>
      <c r="K7" s="12" t="inlineStr">
        <is>
          <t>https://www.cipla.com</t>
        </is>
      </c>
      <c r="L7" s="12" t="inlineStr">
        <is>
          <t>2021-08-20</t>
        </is>
      </c>
      <c r="M7" s="12" t="inlineStr">
        <is>
          <t>Dr. Vikram Rao</t>
        </is>
      </c>
      <c r="N7" s="12" t="inlineStr">
        <is>
          <t>Director - Procurement</t>
        </is>
      </c>
      <c r="O7" s="12" t="inlineStr">
        <is>
          <t>+91 98330 88888</t>
        </is>
      </c>
      <c r="P7" s="12" t="inlineStr">
        <is>
          <t>+91 22 2307 1111</t>
        </is>
      </c>
      <c r="Q7" s="12" t="inlineStr">
        <is>
          <t>v.rao@cipla.com</t>
        </is>
      </c>
      <c r="R7" s="12" t="inlineStr">
        <is>
          <t>Procurement</t>
        </is>
      </c>
      <c r="S7" s="12" t="inlineStr"/>
      <c r="T7" s="12" t="inlineStr"/>
      <c r="U7" s="12" t="inlineStr">
        <is>
          <t>Nisha Patel</t>
        </is>
      </c>
      <c r="V7" s="12" t="inlineStr">
        <is>
          <t>Legal &amp; Compliance</t>
        </is>
      </c>
      <c r="W7" s="12" t="inlineStr">
        <is>
          <t>+91 98330 99999</t>
        </is>
      </c>
      <c r="X7" s="12" t="inlineStr">
        <is>
          <t>n.patel@cipla.com</t>
        </is>
      </c>
      <c r="Y7" s="12" t="inlineStr">
        <is>
          <t>Harish Bose</t>
        </is>
      </c>
      <c r="Z7" s="12" t="inlineStr">
        <is>
          <t>PharmaBridge India</t>
        </is>
      </c>
      <c r="AA7" s="12" t="inlineStr">
        <is>
          <t>+91 98000 11111</t>
        </is>
      </c>
      <c r="AB7" s="12" t="inlineStr">
        <is>
          <t>h.bose@pharmabridge.in</t>
        </is>
      </c>
      <c r="AC7" s="12" t="inlineStr">
        <is>
          <t>2021-07-01</t>
        </is>
      </c>
      <c r="AD7" s="12" t="inlineStr">
        <is>
          <t>Existing Client</t>
        </is>
      </c>
      <c r="AE7" s="12" t="inlineStr">
        <is>
          <t>Strong</t>
        </is>
      </c>
      <c r="AF7" s="12" t="inlineStr">
        <is>
          <t>Referred from our Pune branch relationship</t>
        </is>
      </c>
      <c r="AG7" s="12" t="inlineStr">
        <is>
          <t>20000000</t>
        </is>
      </c>
      <c r="AH7" s="12" t="inlineStr">
        <is>
          <t>1000000</t>
        </is>
      </c>
      <c r="AI7" s="12" t="inlineStr">
        <is>
          <t>250000</t>
        </is>
      </c>
      <c r="AJ7" s="12" t="inlineStr">
        <is>
          <t>Active</t>
        </is>
      </c>
      <c r="AK7" s="12" t="inlineStr">
        <is>
          <t>2021-08-20</t>
        </is>
      </c>
      <c r="AL7" s="12" t="inlineStr">
        <is>
          <t>2025-02-14</t>
        </is>
      </c>
    </row>
    <row r="8" ht="18" customHeight="1">
      <c r="A8" s="11" t="inlineStr">
        <is>
          <t>CL-005</t>
        </is>
      </c>
      <c r="B8" s="11" t="inlineStr">
        <is>
          <t>MAHINDRA-005</t>
        </is>
      </c>
      <c r="C8" s="11" t="inlineStr">
        <is>
          <t>Mahindra &amp; Mahindra Ltd</t>
        </is>
      </c>
      <c r="D8" s="11" t="inlineStr">
        <is>
          <t>Manufacturing</t>
        </is>
      </c>
      <c r="E8" s="11" t="inlineStr">
        <is>
          <t>Ltd. / Public</t>
        </is>
      </c>
      <c r="F8" s="11" t="inlineStr">
        <is>
          <t>27AAACM0000A1ZA</t>
        </is>
      </c>
      <c r="G8" s="11" t="inlineStr">
        <is>
          <t>AAACM0000A</t>
        </is>
      </c>
      <c r="H8" s="11" t="inlineStr">
        <is>
          <t>Gateway Building, Apollo Bunder, Mumbai - 400001</t>
        </is>
      </c>
      <c r="I8" s="11" t="inlineStr">
        <is>
          <t>+91 22 2490 1441</t>
        </is>
      </c>
      <c r="J8" s="11" t="inlineStr">
        <is>
          <t>group.secretariat@mahindra.com</t>
        </is>
      </c>
      <c r="K8" s="11" t="inlineStr">
        <is>
          <t>https://www.mahindra.com</t>
        </is>
      </c>
      <c r="L8" s="11" t="inlineStr">
        <is>
          <t>2020-01-05</t>
        </is>
      </c>
      <c r="M8" s="11" t="inlineStr">
        <is>
          <t>Aditya Kulkarni</t>
        </is>
      </c>
      <c r="N8" s="11" t="inlineStr">
        <is>
          <t>AGM - Vendor Management</t>
        </is>
      </c>
      <c r="O8" s="11" t="inlineStr">
        <is>
          <t>+91 98200 22222</t>
        </is>
      </c>
      <c r="P8" s="11" t="inlineStr"/>
      <c r="Q8" s="11" t="inlineStr">
        <is>
          <t>a.kulkarni@mahindra.com</t>
        </is>
      </c>
      <c r="R8" s="11" t="inlineStr">
        <is>
          <t>Vendor Mgmt</t>
        </is>
      </c>
      <c r="S8" s="11" t="inlineStr"/>
      <c r="T8" s="11" t="inlineStr"/>
      <c r="U8" s="11" t="inlineStr">
        <is>
          <t>Smita Joshi</t>
        </is>
      </c>
      <c r="V8" s="11" t="inlineStr">
        <is>
          <t>Finance</t>
        </is>
      </c>
      <c r="W8" s="11" t="inlineStr">
        <is>
          <t>+91 98200 33333</t>
        </is>
      </c>
      <c r="X8" s="11" t="inlineStr">
        <is>
          <t>s.joshi@mahindra.com</t>
        </is>
      </c>
      <c r="Y8" s="11" t="inlineStr"/>
      <c r="Z8" s="11" t="inlineStr"/>
      <c r="AA8" s="11" t="inlineStr"/>
      <c r="AB8" s="11" t="inlineStr"/>
      <c r="AC8" s="11" t="inlineStr"/>
      <c r="AD8" s="11" t="inlineStr">
        <is>
          <t>Walk-in</t>
        </is>
      </c>
      <c r="AE8" s="11" t="inlineStr">
        <is>
          <t>Strong</t>
        </is>
      </c>
      <c r="AF8" s="11" t="inlineStr">
        <is>
          <t>Direct walk-in, no referral</t>
        </is>
      </c>
      <c r="AG8" s="11" t="inlineStr">
        <is>
          <t>35000000</t>
        </is>
      </c>
      <c r="AH8" s="11" t="inlineStr">
        <is>
          <t>2000000</t>
        </is>
      </c>
      <c r="AI8" s="11" t="inlineStr">
        <is>
          <t>450000</t>
        </is>
      </c>
      <c r="AJ8" s="11" t="inlineStr">
        <is>
          <t>Active</t>
        </is>
      </c>
      <c r="AK8" s="11" t="inlineStr">
        <is>
          <t>2020-01-05</t>
        </is>
      </c>
      <c r="AL8" s="11" t="inlineStr">
        <is>
          <t>2025-03-01</t>
        </is>
      </c>
    </row>
  </sheetData>
  <mergeCells count="8">
    <mergeCell ref="AG2:AI2"/>
    <mergeCell ref="A2:B2"/>
    <mergeCell ref="AJ2:AL2"/>
    <mergeCell ref="M2:T2"/>
    <mergeCell ref="U2:X2"/>
    <mergeCell ref="A1:AH1"/>
    <mergeCell ref="Y2:AF2"/>
    <mergeCell ref="C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0" customHeight="1">
      <c r="A1" s="13" t="inlineStr">
        <is>
          <t>ClientHub — Reference / Dropdown Lists</t>
        </is>
      </c>
    </row>
    <row r="2">
      <c r="A2" s="14" t="inlineStr">
        <is>
          <t>Industry</t>
        </is>
      </c>
      <c r="B2" s="15" t="inlineStr">
        <is>
          <t>Business Type</t>
        </is>
      </c>
      <c r="C2" s="16" t="inlineStr">
        <is>
          <t>Lead Source</t>
        </is>
      </c>
      <c r="D2" s="17" t="inlineStr">
        <is>
          <t>Relationship Strength</t>
        </is>
      </c>
      <c r="E2" s="18" t="inlineStr">
        <is>
          <t>Client Status</t>
        </is>
      </c>
      <c r="F2" s="19" t="inlineStr">
        <is>
          <t>Designation (Sample)</t>
        </is>
      </c>
    </row>
    <row r="3">
      <c r="A3" s="11" t="inlineStr">
        <is>
          <t>IT &amp; Software</t>
        </is>
      </c>
      <c r="B3" s="11" t="inlineStr">
        <is>
          <t>Pvt. Ltd.</t>
        </is>
      </c>
      <c r="C3" s="11" t="inlineStr">
        <is>
          <t>Referral</t>
        </is>
      </c>
      <c r="D3" s="11" t="inlineStr">
        <is>
          <t>Strong</t>
        </is>
      </c>
      <c r="E3" s="11" t="inlineStr">
        <is>
          <t>Active</t>
        </is>
      </c>
      <c r="F3" s="11" t="inlineStr">
        <is>
          <t>CEO</t>
        </is>
      </c>
    </row>
    <row r="4">
      <c r="A4" s="12" t="inlineStr">
        <is>
          <t>Manufacturing</t>
        </is>
      </c>
      <c r="B4" s="12" t="inlineStr">
        <is>
          <t>Ltd. / Public</t>
        </is>
      </c>
      <c r="C4" s="12" t="inlineStr">
        <is>
          <t>Cold Call</t>
        </is>
      </c>
      <c r="D4" s="12" t="inlineStr">
        <is>
          <t>Medium</t>
        </is>
      </c>
      <c r="E4" s="12" t="inlineStr">
        <is>
          <t>Prospect</t>
        </is>
      </c>
      <c r="F4" s="12" t="inlineStr">
        <is>
          <t>COO</t>
        </is>
      </c>
    </row>
    <row r="5">
      <c r="A5" s="11" t="inlineStr">
        <is>
          <t>Healthcare</t>
        </is>
      </c>
      <c r="B5" s="11" t="inlineStr">
        <is>
          <t>LLP</t>
        </is>
      </c>
      <c r="C5" s="11" t="inlineStr">
        <is>
          <t>Website Enquiry</t>
        </is>
      </c>
      <c r="D5" s="11" t="inlineStr">
        <is>
          <t>Weak</t>
        </is>
      </c>
      <c r="E5" s="11" t="inlineStr">
        <is>
          <t>On Hold</t>
        </is>
      </c>
      <c r="F5" s="11" t="inlineStr">
        <is>
          <t>CFO</t>
        </is>
      </c>
    </row>
    <row r="6">
      <c r="A6" s="12" t="inlineStr">
        <is>
          <t>Finance &amp; Banking</t>
        </is>
      </c>
      <c r="B6" s="12" t="inlineStr">
        <is>
          <t>Proprietorship</t>
        </is>
      </c>
      <c r="C6" s="12" t="inlineStr">
        <is>
          <t>Social Media</t>
        </is>
      </c>
      <c r="D6" s="12" t="inlineStr">
        <is>
          <t>New</t>
        </is>
      </c>
      <c r="E6" s="12" t="inlineStr">
        <is>
          <t>Inactive</t>
        </is>
      </c>
      <c r="F6" s="12" t="inlineStr">
        <is>
          <t>CTO</t>
        </is>
      </c>
    </row>
    <row r="7">
      <c r="A7" s="11" t="inlineStr">
        <is>
          <t>Retail &amp; FMCG</t>
        </is>
      </c>
      <c r="B7" s="11" t="inlineStr">
        <is>
          <t>Partnership</t>
        </is>
      </c>
      <c r="C7" s="11" t="inlineStr">
        <is>
          <t>Exhibition / Event</t>
        </is>
      </c>
      <c r="F7" s="11" t="inlineStr">
        <is>
          <t>VP - Procurement</t>
        </is>
      </c>
    </row>
    <row r="8">
      <c r="A8" s="12" t="inlineStr">
        <is>
          <t>Real Estate</t>
        </is>
      </c>
      <c r="B8" s="12" t="inlineStr">
        <is>
          <t>Government Body</t>
        </is>
      </c>
      <c r="C8" s="12" t="inlineStr">
        <is>
          <t>Email Campaign</t>
        </is>
      </c>
      <c r="F8" s="12" t="inlineStr">
        <is>
          <t>VP - Finance</t>
        </is>
      </c>
    </row>
    <row r="9">
      <c r="A9" s="11" t="inlineStr">
        <is>
          <t>Education</t>
        </is>
      </c>
      <c r="B9" s="11" t="inlineStr">
        <is>
          <t>NGO / Trust</t>
        </is>
      </c>
      <c r="C9" s="11" t="inlineStr">
        <is>
          <t>Walk-in</t>
        </is>
      </c>
      <c r="F9" s="11" t="inlineStr">
        <is>
          <t>General Manager</t>
        </is>
      </c>
    </row>
    <row r="10">
      <c r="A10" s="12" t="inlineStr">
        <is>
          <t>Logistics</t>
        </is>
      </c>
      <c r="C10" s="12" t="inlineStr">
        <is>
          <t>Existing Client</t>
        </is>
      </c>
      <c r="F10" s="12" t="inlineStr">
        <is>
          <t>Senior Manager</t>
        </is>
      </c>
    </row>
    <row r="11">
      <c r="A11" s="11" t="inlineStr">
        <is>
          <t>Hospitality</t>
        </is>
      </c>
      <c r="C11" s="11" t="inlineStr">
        <is>
          <t>Partner / Reseller</t>
        </is>
      </c>
      <c r="F11" s="11" t="inlineStr">
        <is>
          <t>Manager</t>
        </is>
      </c>
    </row>
    <row r="12">
      <c r="A12" s="12" t="inlineStr">
        <is>
          <t>Government</t>
        </is>
      </c>
      <c r="C12" s="12" t="inlineStr">
        <is>
          <t>Other</t>
        </is>
      </c>
      <c r="F12" s="12" t="inlineStr">
        <is>
          <t>Director</t>
        </is>
      </c>
    </row>
    <row r="13">
      <c r="A13" s="11" t="inlineStr">
        <is>
          <t>NGO / Non-Profit</t>
        </is>
      </c>
      <c r="F13" s="11" t="inlineStr">
        <is>
          <t>Purchase Officer</t>
        </is>
      </c>
    </row>
    <row r="14">
      <c r="A14" s="12" t="inlineStr">
        <is>
          <t>Other</t>
        </is>
      </c>
      <c r="F14" s="12" t="inlineStr">
        <is>
          <t>IT Head</t>
        </is>
      </c>
    </row>
    <row r="15">
      <c r="F15" s="11" t="inlineStr">
        <is>
          <t>Business Dev Manager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2" customWidth="1" min="3" max="3"/>
    <col width="20" customWidth="1" min="4" max="4"/>
    <col width="16" customWidth="1" min="5" max="5"/>
    <col width="12" customWidth="1" min="6" max="6"/>
    <col width="20" customWidth="1" min="8" max="8"/>
  </cols>
  <sheetData>
    <row r="1" ht="36" customHeight="1">
      <c r="A1" s="1" t="inlineStr">
        <is>
          <t>ClientHub — Dashboard Summary</t>
        </is>
      </c>
    </row>
    <row r="3" ht="22" customHeight="1">
      <c r="B3" s="15" t="inlineStr">
        <is>
          <t>Total Clients</t>
        </is>
      </c>
      <c r="D3" s="20" t="inlineStr">
        <is>
          <t>Active Clients</t>
        </is>
      </c>
      <c r="F3" s="21" t="inlineStr">
        <is>
          <t>Prospects</t>
        </is>
      </c>
      <c r="H3" s="19" t="inlineStr">
        <is>
          <t>Inactive</t>
        </is>
      </c>
    </row>
    <row r="4" ht="36" customHeight="1">
      <c r="B4" s="22" t="n"/>
      <c r="D4" s="23" t="n"/>
      <c r="F4" s="24" t="n"/>
      <c r="H4" s="25" t="n"/>
    </row>
    <row r="6" ht="22" customHeight="1">
      <c r="B6" s="26" t="inlineStr">
        <is>
          <t>Lead Source Breakdown</t>
        </is>
      </c>
      <c r="E6" s="26" t="inlineStr">
        <is>
          <t>Status Breakdown</t>
        </is>
      </c>
    </row>
    <row r="7">
      <c r="B7" s="14" t="inlineStr">
        <is>
          <t>Lead Source</t>
        </is>
      </c>
      <c r="C7" s="14" t="inlineStr">
        <is>
          <t>Count</t>
        </is>
      </c>
      <c r="E7" s="14" t="inlineStr">
        <is>
          <t>Status</t>
        </is>
      </c>
      <c r="F7" s="14" t="inlineStr">
        <is>
          <t>Count</t>
        </is>
      </c>
    </row>
    <row r="8" ht="18" customHeight="1">
      <c r="B8" s="11" t="inlineStr">
        <is>
          <t>Referral</t>
        </is>
      </c>
      <c r="C8" s="27">
        <f>COUNTIF('Client Master'!AD:AD,"Referral")</f>
        <v/>
      </c>
      <c r="E8" s="28" t="inlineStr">
        <is>
          <t>Active</t>
        </is>
      </c>
      <c r="F8" s="29">
        <f>COUNTIF('Client Master'!AJ:AJ,"Active")</f>
        <v/>
      </c>
    </row>
    <row r="9" ht="18" customHeight="1">
      <c r="B9" s="12" t="inlineStr">
        <is>
          <t>Cold Call</t>
        </is>
      </c>
      <c r="C9" s="30">
        <f>COUNTIF('Client Master'!AD:AD,"Cold Call")</f>
        <v/>
      </c>
      <c r="E9" s="31" t="inlineStr">
        <is>
          <t>Prospect</t>
        </is>
      </c>
      <c r="F9" s="32">
        <f>COUNTIF('Client Master'!AJ:AJ,"Prospect")</f>
        <v/>
      </c>
    </row>
    <row r="10" ht="18" customHeight="1">
      <c r="B10" s="11" t="inlineStr">
        <is>
          <t>Website Enquiry</t>
        </is>
      </c>
      <c r="C10" s="27">
        <f>COUNTIF('Client Master'!AD:AD,"Website Enquiry")</f>
        <v/>
      </c>
      <c r="E10" s="33" t="inlineStr">
        <is>
          <t>On Hold</t>
        </is>
      </c>
      <c r="F10" s="34">
        <f>COUNTIF('Client Master'!AJ:AJ,"On Hold")</f>
        <v/>
      </c>
    </row>
    <row r="11" ht="18" customHeight="1">
      <c r="B11" s="12" t="inlineStr">
        <is>
          <t>Social Media</t>
        </is>
      </c>
      <c r="C11" s="30">
        <f>COUNTIF('Client Master'!AD:AD,"Social Media")</f>
        <v/>
      </c>
      <c r="E11" s="35" t="inlineStr">
        <is>
          <t>Inactive</t>
        </is>
      </c>
      <c r="F11" s="36">
        <f>COUNTIF('Client Master'!AJ:AJ,"Inactive")</f>
        <v/>
      </c>
    </row>
    <row r="12" ht="18" customHeight="1">
      <c r="B12" s="11" t="inlineStr">
        <is>
          <t>Exhibition / Event</t>
        </is>
      </c>
      <c r="C12" s="27">
        <f>COUNTIF('Client Master'!AD:AD,"Exhibition / Event")</f>
        <v/>
      </c>
    </row>
    <row r="13" ht="18" customHeight="1">
      <c r="B13" s="12" t="inlineStr">
        <is>
          <t>Email Campaign</t>
        </is>
      </c>
      <c r="C13" s="30">
        <f>COUNTIF('Client Master'!AD:AD,"Email Campaign")</f>
        <v/>
      </c>
    </row>
    <row r="14" ht="18" customHeight="1">
      <c r="B14" s="11" t="inlineStr">
        <is>
          <t>Walk-in</t>
        </is>
      </c>
      <c r="C14" s="27">
        <f>COUNTIF('Client Master'!AD:AD,"Walk-in")</f>
        <v/>
      </c>
    </row>
    <row r="15" ht="18" customHeight="1">
      <c r="B15" s="12" t="inlineStr">
        <is>
          <t>Existing Client</t>
        </is>
      </c>
      <c r="C15" s="30">
        <f>COUNTIF('Client Master'!AD:AD,"Existing Client")</f>
        <v/>
      </c>
    </row>
    <row r="16" ht="18" customHeight="1">
      <c r="B16" s="11" t="inlineStr">
        <is>
          <t>Partner / Reseller</t>
        </is>
      </c>
      <c r="C16" s="27">
        <f>COUNTIF('Client Master'!AD:AD,"Partner / Reseller")</f>
        <v/>
      </c>
    </row>
    <row r="17" ht="18" customHeight="1">
      <c r="B17" s="12" t="inlineStr">
        <is>
          <t>Other</t>
        </is>
      </c>
      <c r="C17" s="30">
        <f>COUNTIF('Client Master'!AD:AD,"Other")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2026-03-20T08:31:55Z</dcterms:created>
  <dcterms:modified xmlns:dcterms="http://purl.org/dc/terms/" xmlns:xsi="http://www.w3.org/2001/XMLSchema-instance" xsi:type="dcterms:W3CDTF">2026-03-20T08:31:55Z</dcterms:modified>
</cp:coreProperties>
</file>